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380E9F-3A1B-4F9D-8C45-9C83EA7AEA79}" xr6:coauthVersionLast="47" xr6:coauthVersionMax="47" xr10:uidLastSave="{00000000-0000-0000-0000-000000000000}"/>
  <bookViews>
    <workbookView xWindow="-120" yWindow="-120" windowWidth="20730" windowHeight="11160" xr2:uid="{45DCCFDC-5B09-4DE2-8EC2-5C88B9F89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11" i="1"/>
  <c r="E8" i="1"/>
  <c r="E7" i="1"/>
  <c r="E10" i="1"/>
  <c r="E12" i="1"/>
  <c r="E9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<sst xmlns="http://schemas.openxmlformats.org/spreadsheetml/2006/main" count="62" uniqueCount="46">
  <si>
    <t>ID</t>
  </si>
  <si>
    <t>Host</t>
  </si>
  <si>
    <t>Total Host</t>
  </si>
  <si>
    <t>Host Bits</t>
  </si>
  <si>
    <t>CIDR</t>
  </si>
  <si>
    <t>Bits</t>
  </si>
  <si>
    <t>HQ</t>
  </si>
  <si>
    <t>R&amp;D-Sci</t>
  </si>
  <si>
    <t>R&amp;D-ENG</t>
  </si>
  <si>
    <t>Train-Eng</t>
  </si>
  <si>
    <t>OPS-ENG</t>
  </si>
  <si>
    <t>SEC</t>
  </si>
  <si>
    <t>IT</t>
  </si>
  <si>
    <t>10.4.0.0/16</t>
  </si>
  <si>
    <t>Subnet IP</t>
  </si>
  <si>
    <t>10.4.0.0/24</t>
  </si>
  <si>
    <t>10.4.1.0/24</t>
  </si>
  <si>
    <t>10.4.2.0/24</t>
  </si>
  <si>
    <t>10.4.3.0/25</t>
  </si>
  <si>
    <t>10.4.3.128/25</t>
  </si>
  <si>
    <t>10.4.4.0/25</t>
  </si>
  <si>
    <t>10.4.4.128/25</t>
  </si>
  <si>
    <t>10.4.4.160</t>
  </si>
  <si>
    <t>extra</t>
  </si>
  <si>
    <t>First Usable IP</t>
  </si>
  <si>
    <t>Last Usable IP</t>
  </si>
  <si>
    <t>10.4.0.1</t>
  </si>
  <si>
    <t>10.4.0.254</t>
  </si>
  <si>
    <t>10.4.1.1</t>
  </si>
  <si>
    <t>10.4.1.254</t>
  </si>
  <si>
    <t>10.4.2.1</t>
  </si>
  <si>
    <t>10.4.3.254</t>
  </si>
  <si>
    <t>10.4.3.1</t>
  </si>
  <si>
    <t>10.4.3.126</t>
  </si>
  <si>
    <t>10.4.3.129</t>
  </si>
  <si>
    <t>10.4.4.1</t>
  </si>
  <si>
    <t>10.4.4.158</t>
  </si>
  <si>
    <t>10.4.4.126</t>
  </si>
  <si>
    <t>10.4.4.129</t>
  </si>
  <si>
    <t>10.4.2.254</t>
  </si>
  <si>
    <t>Extra</t>
  </si>
  <si>
    <t>Network</t>
  </si>
  <si>
    <t>Serial Connections</t>
  </si>
  <si>
    <t>10.4.5.0/24</t>
  </si>
  <si>
    <t>Server Farm</t>
  </si>
  <si>
    <t>10.4.6.0/24 -10.4.10.0/24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</si>
</sst>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F345-01CE-490D-9EC4-667373F5D221}">
  <dimension ref="A1:L25"/>
  <sheetViews>
    <sheetView tabSelected="1" topLeftCell="A3" workbookViewId="0">
      <selection activeCell="P5" sqref="P5"/>
    </sheetView>
  </sheetViews>
  <sheetFormatPr defaultRowHeight="15" x14ac:dyDescent="0.25"/>
  <cols>
    <col min="7" max="7" width="16.5703125" customWidth="1"/>
    <col min="8" max="8" width="20.140625" customWidth="1"/>
    <col min="9" max="9" width="16.85546875" customWidth="1"/>
    <col min="11" max="11" width="18.85546875" customWidth="1"/>
    <col min="12" max="12" width="25" customWidth="1"/>
    <col min="16" max="16" width="15.140625" customWidth="1"/>
  </cols>
  <sheetData>
    <row r="1" spans="1:12" x14ac:dyDescent="0.25">
      <c r="A1">
        <v>11</v>
      </c>
      <c r="B1">
        <v>10</v>
      </c>
      <c r="C1">
        <v>9</v>
      </c>
      <c r="D1">
        <v>8</v>
      </c>
      <c r="E1">
        <v>7</v>
      </c>
      <c r="F1">
        <v>6</v>
      </c>
      <c r="G1">
        <v>5</v>
      </c>
      <c r="H1">
        <v>4</v>
      </c>
      <c r="I1">
        <v>3</v>
      </c>
      <c r="J1">
        <v>2</v>
      </c>
      <c r="K1">
        <v>1</v>
      </c>
      <c r="L1">
        <v>0</v>
      </c>
    </row>
    <row r="2" spans="1:12" x14ac:dyDescent="0.25">
      <c r="A2">
        <f t="shared" ref="A2:K2" si="0">2^A1</f>
        <v>2048</v>
      </c>
      <c r="B2">
        <f t="shared" si="0"/>
        <v>1024</v>
      </c>
      <c r="C2">
        <f t="shared" si="0"/>
        <v>512</v>
      </c>
      <c r="D2">
        <f t="shared" si="0"/>
        <v>256</v>
      </c>
      <c r="E2">
        <f t="shared" si="0"/>
        <v>128</v>
      </c>
      <c r="F2">
        <f t="shared" si="0"/>
        <v>64</v>
      </c>
      <c r="G2">
        <f t="shared" si="0"/>
        <v>32</v>
      </c>
      <c r="H2">
        <f t="shared" si="0"/>
        <v>16</v>
      </c>
      <c r="I2">
        <f t="shared" si="0"/>
        <v>8</v>
      </c>
      <c r="J2">
        <f t="shared" si="0"/>
        <v>4</v>
      </c>
      <c r="K2">
        <f t="shared" si="0"/>
        <v>2</v>
      </c>
      <c r="L2">
        <f>2^L1</f>
        <v>1</v>
      </c>
    </row>
    <row r="4" spans="1:12" x14ac:dyDescent="0.25">
      <c r="K4" t="s">
        <v>13</v>
      </c>
    </row>
    <row r="5" spans="1:12" ht="15.75" thickBot="1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12" ht="15.75" thickBot="1" x14ac:dyDescent="0.3">
      <c r="C6" s="3" t="s">
        <v>7</v>
      </c>
      <c r="D6" s="3">
        <v>198</v>
      </c>
      <c r="E6" s="3">
        <f t="shared" ref="E6:E12" si="1">D6+2</f>
        <v>200</v>
      </c>
      <c r="F6" s="3">
        <v>8</v>
      </c>
      <c r="G6" s="3">
        <v>24</v>
      </c>
      <c r="H6" s="3">
        <v>256</v>
      </c>
      <c r="K6" s="1" t="s">
        <v>0</v>
      </c>
      <c r="L6" s="1" t="s">
        <v>14</v>
      </c>
    </row>
    <row r="7" spans="1:12" x14ac:dyDescent="0.25">
      <c r="C7" s="2" t="s">
        <v>10</v>
      </c>
      <c r="D7" s="2">
        <v>154</v>
      </c>
      <c r="E7" s="3">
        <f t="shared" si="1"/>
        <v>156</v>
      </c>
      <c r="F7" s="2">
        <v>8</v>
      </c>
      <c r="G7" s="2">
        <v>24</v>
      </c>
      <c r="H7" s="2">
        <v>256</v>
      </c>
      <c r="K7" s="3" t="s">
        <v>7</v>
      </c>
      <c r="L7" s="3" t="s">
        <v>15</v>
      </c>
    </row>
    <row r="8" spans="1:12" x14ac:dyDescent="0.25">
      <c r="C8" s="2" t="s">
        <v>9</v>
      </c>
      <c r="D8" s="2">
        <v>132</v>
      </c>
      <c r="E8" s="3">
        <f t="shared" si="1"/>
        <v>134</v>
      </c>
      <c r="F8" s="2">
        <v>8</v>
      </c>
      <c r="G8" s="2">
        <v>24</v>
      </c>
      <c r="H8" s="2">
        <v>256</v>
      </c>
      <c r="K8" s="2" t="s">
        <v>10</v>
      </c>
      <c r="L8" s="2" t="s">
        <v>16</v>
      </c>
    </row>
    <row r="9" spans="1:12" x14ac:dyDescent="0.25">
      <c r="C9" s="2" t="s">
        <v>6</v>
      </c>
      <c r="D9" s="2">
        <v>110</v>
      </c>
      <c r="E9" s="3">
        <f t="shared" si="1"/>
        <v>112</v>
      </c>
      <c r="F9" s="2">
        <v>7</v>
      </c>
      <c r="G9" s="2">
        <v>25</v>
      </c>
      <c r="H9" s="2">
        <v>128</v>
      </c>
      <c r="K9" s="2" t="s">
        <v>9</v>
      </c>
      <c r="L9" s="2" t="s">
        <v>17</v>
      </c>
    </row>
    <row r="10" spans="1:12" x14ac:dyDescent="0.25">
      <c r="C10" s="2" t="s">
        <v>11</v>
      </c>
      <c r="D10" s="2">
        <v>110</v>
      </c>
      <c r="E10" s="3">
        <f t="shared" si="1"/>
        <v>112</v>
      </c>
      <c r="F10" s="2">
        <v>7</v>
      </c>
      <c r="G10" s="2">
        <v>25</v>
      </c>
      <c r="H10" s="2">
        <v>128</v>
      </c>
      <c r="K10" s="2" t="s">
        <v>6</v>
      </c>
      <c r="L10" s="2" t="s">
        <v>18</v>
      </c>
    </row>
    <row r="11" spans="1:12" x14ac:dyDescent="0.25">
      <c r="C11" s="2" t="s">
        <v>8</v>
      </c>
      <c r="D11" s="2">
        <v>66</v>
      </c>
      <c r="E11" s="3">
        <f t="shared" si="1"/>
        <v>68</v>
      </c>
      <c r="F11" s="2">
        <v>7</v>
      </c>
      <c r="G11" s="2">
        <v>25</v>
      </c>
      <c r="H11" s="2">
        <v>128</v>
      </c>
      <c r="K11" s="2" t="s">
        <v>11</v>
      </c>
      <c r="L11" s="2" t="s">
        <v>19</v>
      </c>
    </row>
    <row r="12" spans="1:12" x14ac:dyDescent="0.25">
      <c r="C12" s="2" t="s">
        <v>12</v>
      </c>
      <c r="D12" s="2">
        <v>22</v>
      </c>
      <c r="E12" s="3">
        <f t="shared" si="1"/>
        <v>24</v>
      </c>
      <c r="F12" s="2">
        <v>5</v>
      </c>
      <c r="G12" s="2">
        <v>27</v>
      </c>
      <c r="H12" s="2">
        <v>32</v>
      </c>
      <c r="K12" s="2" t="s">
        <v>8</v>
      </c>
      <c r="L12" s="2" t="s">
        <v>20</v>
      </c>
    </row>
    <row r="13" spans="1:12" x14ac:dyDescent="0.25">
      <c r="C13" s="2"/>
      <c r="D13" s="2"/>
      <c r="E13" s="2"/>
      <c r="F13" s="2"/>
      <c r="G13" s="2"/>
      <c r="H13" s="2"/>
      <c r="K13" s="2" t="s">
        <v>12</v>
      </c>
      <c r="L13" s="2" t="s">
        <v>21</v>
      </c>
    </row>
    <row r="14" spans="1:12" x14ac:dyDescent="0.25">
      <c r="C14" s="2"/>
      <c r="D14" s="2"/>
      <c r="E14" s="2"/>
      <c r="F14" s="2"/>
      <c r="G14" s="2"/>
      <c r="H14" s="2"/>
      <c r="K14" s="2" t="s">
        <v>23</v>
      </c>
      <c r="L14" s="2" t="s">
        <v>22</v>
      </c>
    </row>
    <row r="15" spans="1:12" x14ac:dyDescent="0.25">
      <c r="C15" s="2"/>
      <c r="D15" s="2"/>
      <c r="E15" s="2"/>
      <c r="F15" s="2"/>
      <c r="G15" s="2"/>
      <c r="H15" s="2"/>
    </row>
    <row r="18" spans="7:12" ht="15.75" thickBot="1" x14ac:dyDescent="0.3">
      <c r="G18" s="1" t="s">
        <v>0</v>
      </c>
      <c r="H18" s="1" t="s">
        <v>24</v>
      </c>
      <c r="I18" s="1" t="s">
        <v>25</v>
      </c>
      <c r="K18" s="1" t="s">
        <v>40</v>
      </c>
      <c r="L18" s="1" t="s">
        <v>41</v>
      </c>
    </row>
    <row r="19" spans="7:12" x14ac:dyDescent="0.25">
      <c r="G19" s="3" t="s">
        <v>7</v>
      </c>
      <c r="H19" s="3" t="s">
        <v>26</v>
      </c>
      <c r="I19" s="3" t="s">
        <v>27</v>
      </c>
      <c r="K19" s="3" t="s">
        <v>42</v>
      </c>
      <c r="L19" s="3" t="s">
        <v>43</v>
      </c>
    </row>
    <row r="20" spans="7:12" x14ac:dyDescent="0.25">
      <c r="G20" s="2" t="s">
        <v>10</v>
      </c>
      <c r="H20" s="2" t="s">
        <v>28</v>
      </c>
      <c r="I20" s="2" t="s">
        <v>29</v>
      </c>
      <c r="K20" s="2" t="s">
        <v>44</v>
      </c>
      <c r="L20" s="2" t="s">
        <v>45</v>
      </c>
    </row>
    <row r="21" spans="7:12" x14ac:dyDescent="0.25">
      <c r="G21" s="2" t="s">
        <v>9</v>
      </c>
      <c r="H21" s="2" t="s">
        <v>30</v>
      </c>
      <c r="I21" s="2" t="s">
        <v>39</v>
      </c>
    </row>
    <row r="22" spans="7:12" x14ac:dyDescent="0.25">
      <c r="G22" s="2" t="s">
        <v>6</v>
      </c>
      <c r="H22" s="2" t="s">
        <v>32</v>
      </c>
      <c r="I22" s="2" t="s">
        <v>33</v>
      </c>
    </row>
    <row r="23" spans="7:12" x14ac:dyDescent="0.25">
      <c r="G23" s="2" t="s">
        <v>11</v>
      </c>
      <c r="H23" s="2" t="s">
        <v>34</v>
      </c>
      <c r="I23" s="2" t="s">
        <v>31</v>
      </c>
    </row>
    <row r="24" spans="7:12" x14ac:dyDescent="0.25">
      <c r="G24" s="2" t="s">
        <v>8</v>
      </c>
      <c r="H24" s="2" t="s">
        <v>35</v>
      </c>
      <c r="I24" s="2" t="s">
        <v>37</v>
      </c>
    </row>
    <row r="25" spans="7:12" x14ac:dyDescent="0.25">
      <c r="G25" s="2" t="s">
        <v>12</v>
      </c>
      <c r="H25" s="2" t="s">
        <v>38</v>
      </c>
      <c r="I25" s="2" t="s">
        <v>36</v>
      </c>
    </row>
  </sheetData>
  <sortState xmlns:xlrd2="http://schemas.microsoft.com/office/spreadsheetml/2017/richdata2" ref="C6:H12">
    <sortCondition descending="1" ref="E6:E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2023-04-21T02:13:13Z</dcterms:created>
  <dcterms:modified xsi:type="dcterms:W3CDTF">2023-05-18T05:17:07Z</dcterms:modified>
</cp:coreProperties>
</file>